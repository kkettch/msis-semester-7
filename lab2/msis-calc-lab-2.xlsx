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/Documents/7 семестр/МСИС/ЛР2/"/>
    </mc:Choice>
  </mc:AlternateContent>
  <xr:revisionPtr revIDLastSave="0" documentId="13_ncr:1_{DD2DFF6F-2197-374D-9DBE-94D77786D6C9}" xr6:coauthVersionLast="47" xr6:coauthVersionMax="47" xr10:uidLastSave="{00000000-0000-0000-0000-000000000000}"/>
  <bookViews>
    <workbookView xWindow="280" yWindow="500" windowWidth="28240" windowHeight="16100" xr2:uid="{C307D589-8818-A54B-941F-CD9471A9AEC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3" i="1" l="1"/>
  <c r="B56" i="1"/>
  <c r="B51" i="1"/>
  <c r="B50" i="1"/>
  <c r="B49" i="1"/>
  <c r="B48" i="1"/>
  <c r="B45" i="1"/>
  <c r="B44" i="1"/>
  <c r="B41" i="1"/>
  <c r="B33" i="1"/>
  <c r="B34" i="1"/>
  <c r="B35" i="1"/>
  <c r="B32" i="1"/>
  <c r="B26" i="1"/>
  <c r="B27" i="1"/>
  <c r="B28" i="1"/>
  <c r="B25" i="1"/>
  <c r="B24" i="1"/>
  <c r="B21" i="1"/>
  <c r="B20" i="1"/>
  <c r="B19" i="1"/>
  <c r="B18" i="1"/>
  <c r="B17" i="1"/>
  <c r="I10" i="1"/>
  <c r="I11" i="1"/>
  <c r="I12" i="1"/>
  <c r="I13" i="1"/>
  <c r="I9" i="1"/>
  <c r="H10" i="1"/>
  <c r="H11" i="1"/>
  <c r="H12" i="1"/>
  <c r="H13" i="1"/>
  <c r="H9" i="1"/>
  <c r="G10" i="1"/>
  <c r="G11" i="1"/>
  <c r="G12" i="1"/>
  <c r="G13" i="1"/>
  <c r="G9" i="1"/>
  <c r="F13" i="1"/>
  <c r="F10" i="1"/>
  <c r="F11" i="1"/>
  <c r="F12" i="1"/>
  <c r="F9" i="1"/>
  <c r="B14" i="1" l="1"/>
  <c r="B13" i="1"/>
  <c r="B12" i="1"/>
  <c r="B11" i="1"/>
  <c r="B7" i="1"/>
  <c r="B6" i="1"/>
  <c r="B3" i="1"/>
  <c r="B38" i="1" l="1"/>
  <c r="B53" i="1" s="1"/>
  <c r="B64" i="1"/>
  <c r="B65" i="1" s="1"/>
  <c r="B66" i="1" s="1"/>
  <c r="B40" i="1"/>
  <c r="B55" i="1" s="1"/>
  <c r="B39" i="1"/>
  <c r="B54" i="1" s="1"/>
  <c r="B59" i="1" l="1"/>
  <c r="B60" i="1" s="1"/>
  <c r="B70" i="1" l="1"/>
  <c r="B69" i="1"/>
</calcChain>
</file>

<file path=xl/sharedStrings.xml><?xml version="1.0" encoding="utf-8"?>
<sst xmlns="http://schemas.openxmlformats.org/spreadsheetml/2006/main" count="99" uniqueCount="70">
  <si>
    <t>Штангенгциркуля</t>
  </si>
  <si>
    <t>Весов</t>
  </si>
  <si>
    <t>г.</t>
  </si>
  <si>
    <t>мм.</t>
  </si>
  <si>
    <t>№</t>
  </si>
  <si>
    <r>
      <t>l</t>
    </r>
    <r>
      <rPr>
        <i/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>, мм</t>
    </r>
  </si>
  <si>
    <r>
      <t>l</t>
    </r>
    <r>
      <rPr>
        <i/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, мм</t>
    </r>
  </si>
  <si>
    <r>
      <t>l</t>
    </r>
    <r>
      <rPr>
        <i/>
        <vertAlign val="subscript"/>
        <sz val="12"/>
        <color theme="1"/>
        <rFont val="Times New Roman"/>
        <family val="1"/>
      </rPr>
      <t>3</t>
    </r>
    <r>
      <rPr>
        <sz val="12"/>
        <color theme="1"/>
        <rFont val="Times New Roman"/>
        <family val="1"/>
      </rPr>
      <t>, мм</t>
    </r>
  </si>
  <si>
    <r>
      <t>m</t>
    </r>
    <r>
      <rPr>
        <sz val="12"/>
        <color theme="1"/>
        <rFont val="Times New Roman"/>
        <family val="1"/>
      </rPr>
      <t>, г</t>
    </r>
  </si>
  <si>
    <t>1. Приборная погрешность</t>
  </si>
  <si>
    <t xml:space="preserve">2. Систематическая погр. </t>
  </si>
  <si>
    <t>3. Определение среднего для прямых измерений</t>
  </si>
  <si>
    <t>n=</t>
  </si>
  <si>
    <t>l2_ср=</t>
  </si>
  <si>
    <t>l3_ср=</t>
  </si>
  <si>
    <t>l1_ср=</t>
  </si>
  <si>
    <t>m_ср</t>
  </si>
  <si>
    <t>4. Среднее квадратическое отклонение S</t>
  </si>
  <si>
    <t>(l1-l1_ср)^2</t>
  </si>
  <si>
    <t>(l2-l2_ср)^2</t>
  </si>
  <si>
    <t>S_l1=</t>
  </si>
  <si>
    <t>S_l2=</t>
  </si>
  <si>
    <t>S_l3=</t>
  </si>
  <si>
    <t>S_m=</t>
  </si>
  <si>
    <t>1/(n-1)=</t>
  </si>
  <si>
    <t>5. Среднее квадратическое отклонение среднего Sx</t>
  </si>
  <si>
    <t>корень(n)=</t>
  </si>
  <si>
    <t>Sx_l1=</t>
  </si>
  <si>
    <t>Sx_l2=</t>
  </si>
  <si>
    <t>Sx_l3=</t>
  </si>
  <si>
    <t>Sx_m=</t>
  </si>
  <si>
    <t>6. Доверительные границы случайной погрешности</t>
  </si>
  <si>
    <t>t=</t>
  </si>
  <si>
    <t>ε_l1=</t>
  </si>
  <si>
    <t>ε_l2=</t>
  </si>
  <si>
    <t>ε_l3=</t>
  </si>
  <si>
    <t>ε_m=</t>
  </si>
  <si>
    <t>7. Полная абсолютная погрешность прямых измерений</t>
  </si>
  <si>
    <t>Δ_l1=</t>
  </si>
  <si>
    <t>Δ_l2=</t>
  </si>
  <si>
    <t>Δ_l3=</t>
  </si>
  <si>
    <t>Δ_m=</t>
  </si>
  <si>
    <t>p_ср=</t>
  </si>
  <si>
    <t>кг / м^3</t>
  </si>
  <si>
    <t>г / мм^3</t>
  </si>
  <si>
    <t xml:space="preserve">9. Частные производные: </t>
  </si>
  <si>
    <t>∂/∂_l1=</t>
  </si>
  <si>
    <t>∂/∂_l2=</t>
  </si>
  <si>
    <t>∂/∂_l3=</t>
  </si>
  <si>
    <t>∂/∂_m=</t>
  </si>
  <si>
    <t xml:space="preserve"> Под корнем: </t>
  </si>
  <si>
    <t>для l1</t>
  </si>
  <si>
    <t>для l2</t>
  </si>
  <si>
    <t>для l3</t>
  </si>
  <si>
    <t>для m</t>
  </si>
  <si>
    <t>Δp=</t>
  </si>
  <si>
    <t>10. Случайная погрешность Δp</t>
  </si>
  <si>
    <t>8. Среднее значение плотности p_ср</t>
  </si>
  <si>
    <t xml:space="preserve">В скобках: </t>
  </si>
  <si>
    <t>сумма=</t>
  </si>
  <si>
    <t>Θ_p=</t>
  </si>
  <si>
    <t>11. Систематическая погрешность Θ_p</t>
  </si>
  <si>
    <t>12. Полная погрешность косвенных измерений Δp_ср</t>
  </si>
  <si>
    <t>Δp_ср1 (сумма)=</t>
  </si>
  <si>
    <t>Δp_ср2 (под корнем)=</t>
  </si>
  <si>
    <t xml:space="preserve">13. Относительная погрешность: </t>
  </si>
  <si>
    <t>δp=</t>
  </si>
  <si>
    <t>%</t>
  </si>
  <si>
    <t>14. Окончательный результат косвенных измерений</t>
  </si>
  <si>
    <t>p = 7737,65 + 73,70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</si>
</sst>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i/>
      <vertAlign val="subscript"/>
      <sz val="12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ptos Narrow"/>
      <family val="2"/>
      <charset val="20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E1D3-1B19-0E43-80C5-68D6274E8922}">
  <dimension ref="A1:I1048576"/>
  <sheetViews>
    <sheetView tabSelected="1" topLeftCell="A48" zoomScale="125" workbookViewId="0">
      <selection activeCell="A77" sqref="A77"/>
    </sheetView>
  </sheetViews>
  <sheetFormatPr baseColWidth="10" defaultRowHeight="16" x14ac:dyDescent="0.2"/>
  <cols>
    <col min="1" max="1" width="24.5" customWidth="1"/>
    <col min="2" max="2" width="12.6640625" bestFit="1" customWidth="1"/>
  </cols>
  <sheetData>
    <row r="1" spans="1:9" ht="20" thickBot="1" x14ac:dyDescent="0.25">
      <c r="A1" s="1" t="s">
        <v>9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7" thickBot="1" x14ac:dyDescent="0.25">
      <c r="A2" t="s">
        <v>0</v>
      </c>
      <c r="B2">
        <v>0.02</v>
      </c>
      <c r="C2" t="s">
        <v>3</v>
      </c>
      <c r="E2" s="4">
        <v>1</v>
      </c>
      <c r="F2" s="5">
        <v>100</v>
      </c>
      <c r="G2" s="5">
        <v>35</v>
      </c>
      <c r="H2" s="5">
        <v>8.9</v>
      </c>
      <c r="I2" s="5">
        <v>241.14</v>
      </c>
    </row>
    <row r="3" spans="1:9" ht="17" thickBot="1" x14ac:dyDescent="0.25">
      <c r="A3" t="s">
        <v>1</v>
      </c>
      <c r="B3">
        <f>0.02</f>
        <v>0.02</v>
      </c>
      <c r="C3" t="s">
        <v>2</v>
      </c>
      <c r="E3" s="4">
        <v>2</v>
      </c>
      <c r="F3" s="5">
        <v>100.1</v>
      </c>
      <c r="G3" s="5">
        <v>35.200000000000003</v>
      </c>
      <c r="H3" s="5">
        <v>9</v>
      </c>
      <c r="I3" s="5">
        <v>241.16</v>
      </c>
    </row>
    <row r="4" spans="1:9" ht="17" thickBot="1" x14ac:dyDescent="0.25">
      <c r="E4" s="4">
        <v>3</v>
      </c>
      <c r="F4" s="5">
        <v>99.92</v>
      </c>
      <c r="G4" s="5">
        <v>35</v>
      </c>
      <c r="H4" s="5">
        <v>8.84</v>
      </c>
      <c r="I4" s="5">
        <v>241.16</v>
      </c>
    </row>
    <row r="5" spans="1:9" ht="17" thickBot="1" x14ac:dyDescent="0.25">
      <c r="A5" s="1" t="s">
        <v>10</v>
      </c>
      <c r="E5" s="4">
        <v>4</v>
      </c>
      <c r="F5" s="5">
        <v>99.94</v>
      </c>
      <c r="G5" s="5">
        <v>35</v>
      </c>
      <c r="H5" s="5">
        <v>8.86</v>
      </c>
      <c r="I5" s="5">
        <v>241.14</v>
      </c>
    </row>
    <row r="6" spans="1:9" ht="17" thickBot="1" x14ac:dyDescent="0.25">
      <c r="A6" t="s">
        <v>0</v>
      </c>
      <c r="B6">
        <f>B2/2</f>
        <v>0.01</v>
      </c>
      <c r="C6" t="s">
        <v>3</v>
      </c>
      <c r="E6" s="4">
        <v>5</v>
      </c>
      <c r="F6" s="5">
        <v>100</v>
      </c>
      <c r="G6" s="5">
        <v>34.979999999999997</v>
      </c>
      <c r="H6" s="5">
        <v>8.8800000000000008</v>
      </c>
      <c r="I6" s="5">
        <v>241.14</v>
      </c>
    </row>
    <row r="7" spans="1:9" x14ac:dyDescent="0.2">
      <c r="A7" t="s">
        <v>1</v>
      </c>
      <c r="B7">
        <f>B3/2</f>
        <v>0.01</v>
      </c>
      <c r="C7" t="s">
        <v>2</v>
      </c>
    </row>
    <row r="8" spans="1:9" x14ac:dyDescent="0.2">
      <c r="F8" s="1" t="s">
        <v>18</v>
      </c>
      <c r="G8" s="1" t="s">
        <v>19</v>
      </c>
      <c r="H8" s="1" t="s">
        <v>18</v>
      </c>
      <c r="I8" s="1" t="s">
        <v>18</v>
      </c>
    </row>
    <row r="9" spans="1:9" x14ac:dyDescent="0.2">
      <c r="A9" s="1" t="s">
        <v>11</v>
      </c>
      <c r="F9">
        <f>POWER(F2-$B$11, 2)</f>
        <v>6.4000000000156434E-5</v>
      </c>
      <c r="G9">
        <f>POWER(G2-$B$12, 2)</f>
        <v>1.2959999999995865E-3</v>
      </c>
      <c r="H9">
        <f>POWER(H2-$B$13, 2)</f>
        <v>1.6000000000010685E-5</v>
      </c>
      <c r="I9">
        <f>POWER(I2-$B$14, 2)</f>
        <v>6.3999999999701692E-5</v>
      </c>
    </row>
    <row r="10" spans="1:9" x14ac:dyDescent="0.2">
      <c r="A10" s="6" t="s">
        <v>12</v>
      </c>
      <c r="B10">
        <v>5</v>
      </c>
      <c r="F10">
        <f>POWER(F3-$B$11, 2)</f>
        <v>1.1664000000000884E-2</v>
      </c>
      <c r="G10">
        <f t="shared" ref="G10:I13" si="0">POWER(G3-$B$12, 2)</f>
        <v>2.6896000000002817E-2</v>
      </c>
      <c r="H10">
        <f t="shared" ref="H10:H13" si="1">POWER(H3-$B$13, 2)</f>
        <v>1.0816000000000204E-2</v>
      </c>
      <c r="I10">
        <f t="shared" ref="I10:I13" si="2">POWER(I3-$B$14, 2)</f>
        <v>1.4400000000069303E-4</v>
      </c>
    </row>
    <row r="11" spans="1:9" x14ac:dyDescent="0.2">
      <c r="A11" s="7" t="s">
        <v>15</v>
      </c>
      <c r="B11">
        <f>SUM(F2:F6)/B10</f>
        <v>99.99199999999999</v>
      </c>
      <c r="C11" t="s">
        <v>3</v>
      </c>
      <c r="F11">
        <f>POWER(F4-$B$11, 2)</f>
        <v>5.1839999999983462E-3</v>
      </c>
      <c r="G11">
        <f t="shared" si="0"/>
        <v>1.2959999999995865E-3</v>
      </c>
      <c r="H11">
        <f t="shared" si="1"/>
        <v>3.1359999999999062E-3</v>
      </c>
      <c r="I11">
        <f t="shared" si="2"/>
        <v>1.4400000000069303E-4</v>
      </c>
    </row>
    <row r="12" spans="1:9" x14ac:dyDescent="0.2">
      <c r="A12" s="7" t="s">
        <v>13</v>
      </c>
      <c r="B12">
        <f>SUM(G2:G6)/B10</f>
        <v>35.035999999999994</v>
      </c>
      <c r="C12" t="s">
        <v>3</v>
      </c>
      <c r="F12">
        <f>POWER(F5-$B$11, 2)</f>
        <v>2.7039999999992196E-3</v>
      </c>
      <c r="G12">
        <f t="shared" si="0"/>
        <v>1.2959999999995865E-3</v>
      </c>
      <c r="H12">
        <f t="shared" si="1"/>
        <v>1.2959999999999704E-3</v>
      </c>
      <c r="I12">
        <f t="shared" si="2"/>
        <v>6.3999999999701692E-5</v>
      </c>
    </row>
    <row r="13" spans="1:9" x14ac:dyDescent="0.2">
      <c r="A13" s="7" t="s">
        <v>14</v>
      </c>
      <c r="B13">
        <f>SUM(H2:H6)/B10</f>
        <v>8.895999999999999</v>
      </c>
      <c r="C13" t="s">
        <v>3</v>
      </c>
      <c r="F13">
        <f>POWER(F6-$B$11, 2)</f>
        <v>6.4000000000156434E-5</v>
      </c>
      <c r="G13">
        <f t="shared" si="0"/>
        <v>3.1359999999997072E-3</v>
      </c>
      <c r="H13">
        <f t="shared" si="1"/>
        <v>2.5599999999994361E-4</v>
      </c>
      <c r="I13">
        <f t="shared" si="2"/>
        <v>6.3999999999701692E-5</v>
      </c>
    </row>
    <row r="14" spans="1:9" x14ac:dyDescent="0.2">
      <c r="A14" s="7" t="s">
        <v>16</v>
      </c>
      <c r="B14">
        <f>SUM(I2:I6)/B10</f>
        <v>241.14799999999997</v>
      </c>
      <c r="C14" t="s">
        <v>2</v>
      </c>
    </row>
    <row r="16" spans="1:9" x14ac:dyDescent="0.2">
      <c r="A16" s="1" t="s">
        <v>17</v>
      </c>
    </row>
    <row r="17" spans="1:3" x14ac:dyDescent="0.2">
      <c r="A17" s="7" t="s">
        <v>24</v>
      </c>
      <c r="B17">
        <f>1/(B10-1)</f>
        <v>0.25</v>
      </c>
    </row>
    <row r="18" spans="1:3" x14ac:dyDescent="0.2">
      <c r="A18" s="7" t="s">
        <v>20</v>
      </c>
      <c r="B18">
        <f>SQRT(B17*SUM(F9:F13))</f>
        <v>7.0142711666998522E-2</v>
      </c>
      <c r="C18" t="s">
        <v>3</v>
      </c>
    </row>
    <row r="19" spans="1:3" x14ac:dyDescent="0.2">
      <c r="A19" s="7" t="s">
        <v>21</v>
      </c>
      <c r="B19">
        <f>SQRT(B17*SUM(G9:G13))</f>
        <v>9.208691546577244E-2</v>
      </c>
      <c r="C19" t="s">
        <v>3</v>
      </c>
    </row>
    <row r="20" spans="1:3" x14ac:dyDescent="0.2">
      <c r="A20" s="7" t="s">
        <v>22</v>
      </c>
      <c r="B20">
        <f>SQRT(B17*SUM(H9:H13))</f>
        <v>6.2289646009589819E-2</v>
      </c>
      <c r="C20" t="s">
        <v>3</v>
      </c>
    </row>
    <row r="21" spans="1:3" x14ac:dyDescent="0.2">
      <c r="A21" s="7" t="s">
        <v>23</v>
      </c>
      <c r="B21">
        <f>SQRT(B17*SUM(I9:I13))</f>
        <v>1.0954451150108926E-2</v>
      </c>
      <c r="C21" t="s">
        <v>2</v>
      </c>
    </row>
    <row r="23" spans="1:3" x14ac:dyDescent="0.2">
      <c r="A23" s="8" t="s">
        <v>25</v>
      </c>
    </row>
    <row r="24" spans="1:3" x14ac:dyDescent="0.2">
      <c r="A24" s="7" t="s">
        <v>26</v>
      </c>
      <c r="B24">
        <f>SQRT(B10)</f>
        <v>2.2360679774997898</v>
      </c>
    </row>
    <row r="25" spans="1:3" x14ac:dyDescent="0.2">
      <c r="A25" s="7" t="s">
        <v>27</v>
      </c>
      <c r="B25">
        <f>B18/$B$24</f>
        <v>3.1368774282715256E-2</v>
      </c>
      <c r="C25" t="s">
        <v>3</v>
      </c>
    </row>
    <row r="26" spans="1:3" x14ac:dyDescent="0.2">
      <c r="A26" s="7" t="s">
        <v>28</v>
      </c>
      <c r="B26">
        <f t="shared" ref="B26:B28" si="3">B19/$B$24</f>
        <v>4.1182520563948777E-2</v>
      </c>
      <c r="C26" t="s">
        <v>3</v>
      </c>
    </row>
    <row r="27" spans="1:3" x14ac:dyDescent="0.2">
      <c r="A27" s="7" t="s">
        <v>29</v>
      </c>
      <c r="B27">
        <f t="shared" si="3"/>
        <v>2.785677655436827E-2</v>
      </c>
      <c r="C27" t="s">
        <v>3</v>
      </c>
    </row>
    <row r="28" spans="1:3" x14ac:dyDescent="0.2">
      <c r="A28" s="7" t="s">
        <v>30</v>
      </c>
      <c r="B28">
        <f t="shared" si="3"/>
        <v>4.8989794855688615E-3</v>
      </c>
      <c r="C28" t="s">
        <v>2</v>
      </c>
    </row>
    <row r="30" spans="1:3" x14ac:dyDescent="0.2">
      <c r="A30" s="8" t="s">
        <v>31</v>
      </c>
    </row>
    <row r="31" spans="1:3" x14ac:dyDescent="0.2">
      <c r="A31" s="7" t="s">
        <v>32</v>
      </c>
      <c r="B31">
        <v>2.7759999999999998</v>
      </c>
    </row>
    <row r="32" spans="1:3" x14ac:dyDescent="0.2">
      <c r="A32" s="7" t="s">
        <v>33</v>
      </c>
      <c r="B32">
        <f>$B$31*B25</f>
        <v>8.707971740881755E-2</v>
      </c>
      <c r="C32" t="s">
        <v>3</v>
      </c>
    </row>
    <row r="33" spans="1:3" x14ac:dyDescent="0.2">
      <c r="A33" s="7" t="s">
        <v>34</v>
      </c>
      <c r="B33">
        <f t="shared" ref="B33:B36" si="4">$B$31*B26</f>
        <v>0.1143226770855218</v>
      </c>
      <c r="C33" t="s">
        <v>3</v>
      </c>
    </row>
    <row r="34" spans="1:3" x14ac:dyDescent="0.2">
      <c r="A34" s="7" t="s">
        <v>35</v>
      </c>
      <c r="B34">
        <f t="shared" si="4"/>
        <v>7.7330411714926314E-2</v>
      </c>
      <c r="C34" t="s">
        <v>3</v>
      </c>
    </row>
    <row r="35" spans="1:3" x14ac:dyDescent="0.2">
      <c r="A35" s="7" t="s">
        <v>36</v>
      </c>
      <c r="B35">
        <f t="shared" si="4"/>
        <v>1.3599567051939158E-2</v>
      </c>
      <c r="C35" t="s">
        <v>2</v>
      </c>
    </row>
    <row r="37" spans="1:3" x14ac:dyDescent="0.2">
      <c r="A37" s="10" t="s">
        <v>37</v>
      </c>
    </row>
    <row r="38" spans="1:3" x14ac:dyDescent="0.2">
      <c r="A38" s="7" t="s">
        <v>38</v>
      </c>
      <c r="B38">
        <f>SQRT(POWER(B32,2)+POWER($B$6,2))</f>
        <v>8.7652023273849883E-2</v>
      </c>
    </row>
    <row r="39" spans="1:3" x14ac:dyDescent="0.2">
      <c r="A39" s="7" t="s">
        <v>39</v>
      </c>
      <c r="B39">
        <f t="shared" ref="B39:B41" si="5">SQRT(POWER(B33,2)+POWER($B$6,2))</f>
        <v>0.11475920222797163</v>
      </c>
    </row>
    <row r="40" spans="1:3" x14ac:dyDescent="0.2">
      <c r="A40" s="7" t="s">
        <v>40</v>
      </c>
      <c r="B40">
        <f t="shared" si="5"/>
        <v>7.7974307153061723E-2</v>
      </c>
    </row>
    <row r="41" spans="1:3" x14ac:dyDescent="0.2">
      <c r="A41" s="11" t="s">
        <v>41</v>
      </c>
      <c r="B41">
        <f>SQRT(POWER(B35,2)+POWER($B$7,2))</f>
        <v>1.6880409473712096E-2</v>
      </c>
    </row>
    <row r="43" spans="1:3" x14ac:dyDescent="0.2">
      <c r="A43" s="8" t="s">
        <v>57</v>
      </c>
    </row>
    <row r="44" spans="1:3" x14ac:dyDescent="0.2">
      <c r="A44" s="7" t="s">
        <v>42</v>
      </c>
      <c r="B44">
        <f>B14/(B13*B12*B11)</f>
        <v>7.7376506448798192E-3</v>
      </c>
      <c r="C44" t="s">
        <v>44</v>
      </c>
    </row>
    <row r="45" spans="1:3" x14ac:dyDescent="0.2">
      <c r="B45">
        <f>B44*1000000</f>
        <v>7737.6506448798191</v>
      </c>
      <c r="C45" t="s">
        <v>43</v>
      </c>
    </row>
    <row r="47" spans="1:3" x14ac:dyDescent="0.2">
      <c r="A47" s="1" t="s">
        <v>45</v>
      </c>
    </row>
    <row r="48" spans="1:3" x14ac:dyDescent="0.2">
      <c r="A48" s="7" t="s">
        <v>46</v>
      </c>
      <c r="B48">
        <f>-1/B11</f>
        <v>-1.0000800064005121E-2</v>
      </c>
    </row>
    <row r="49" spans="1:6" x14ac:dyDescent="0.2">
      <c r="A49" s="7" t="s">
        <v>47</v>
      </c>
      <c r="B49">
        <f>-1/B12</f>
        <v>-2.8542071012672685E-2</v>
      </c>
    </row>
    <row r="50" spans="1:6" x14ac:dyDescent="0.2">
      <c r="A50" s="7" t="s">
        <v>48</v>
      </c>
      <c r="B50">
        <f>-1/B13</f>
        <v>-0.11241007194244605</v>
      </c>
    </row>
    <row r="51" spans="1:6" x14ac:dyDescent="0.2">
      <c r="A51" s="11" t="s">
        <v>49</v>
      </c>
      <c r="B51">
        <f>1/B14</f>
        <v>4.1468309917561006E-3</v>
      </c>
    </row>
    <row r="52" spans="1:6" x14ac:dyDescent="0.2">
      <c r="A52" s="9" t="s">
        <v>50</v>
      </c>
    </row>
    <row r="53" spans="1:6" x14ac:dyDescent="0.2">
      <c r="A53" s="12" t="s">
        <v>51</v>
      </c>
      <c r="B53">
        <f>B48*B38</f>
        <v>-8.7659035996729632E-4</v>
      </c>
    </row>
    <row r="54" spans="1:6" x14ac:dyDescent="0.2">
      <c r="A54" s="7" t="s">
        <v>52</v>
      </c>
      <c r="B54">
        <f t="shared" ref="B54:B56" si="6">B49*B39</f>
        <v>-3.2754652993484319E-3</v>
      </c>
    </row>
    <row r="55" spans="1:6" x14ac:dyDescent="0.2">
      <c r="A55" s="7" t="s">
        <v>53</v>
      </c>
      <c r="B55">
        <f t="shared" si="6"/>
        <v>-8.7650974767380548E-3</v>
      </c>
    </row>
    <row r="56" spans="1:6" x14ac:dyDescent="0.2">
      <c r="A56" s="7" t="s">
        <v>54</v>
      </c>
      <c r="B56">
        <f t="shared" si="6"/>
        <v>7.0000205159122608E-5</v>
      </c>
      <c r="F56" s="7"/>
    </row>
    <row r="58" spans="1:6" x14ac:dyDescent="0.2">
      <c r="A58" s="8" t="s">
        <v>56</v>
      </c>
    </row>
    <row r="59" spans="1:6" x14ac:dyDescent="0.2">
      <c r="A59" s="7" t="s">
        <v>55</v>
      </c>
      <c r="B59">
        <f>B44*SQRT(POWER(B53,2)+POWER(B54,2)+POWER(B55,2)+POWER(B56,2))</f>
        <v>7.2721122044983478E-5</v>
      </c>
      <c r="C59" t="s">
        <v>44</v>
      </c>
    </row>
    <row r="60" spans="1:6" x14ac:dyDescent="0.2">
      <c r="B60">
        <f>B59*1000000</f>
        <v>72.721122044983474</v>
      </c>
      <c r="C60" t="s">
        <v>43</v>
      </c>
    </row>
    <row r="62" spans="1:6" x14ac:dyDescent="0.2">
      <c r="A62" s="1" t="s">
        <v>61</v>
      </c>
    </row>
    <row r="63" spans="1:6" x14ac:dyDescent="0.2">
      <c r="A63" s="9" t="s">
        <v>58</v>
      </c>
    </row>
    <row r="64" spans="1:6" x14ac:dyDescent="0.2">
      <c r="A64" s="7" t="s">
        <v>59</v>
      </c>
      <c r="B64" s="7">
        <f>ABS(B6/B11)+ABS(B6/B12)+ABS(B6/B13)+ABS(B7/B14)</f>
        <v>1.5509977401087997E-3</v>
      </c>
    </row>
    <row r="65" spans="1:3" x14ac:dyDescent="0.2">
      <c r="A65" s="7" t="s">
        <v>60</v>
      </c>
      <c r="B65">
        <f>B44*B64</f>
        <v>1.2001078663959997E-5</v>
      </c>
      <c r="C65" t="s">
        <v>44</v>
      </c>
    </row>
    <row r="66" spans="1:3" x14ac:dyDescent="0.2">
      <c r="B66">
        <f>B65*1000000</f>
        <v>12.001078663959998</v>
      </c>
      <c r="C66" t="s">
        <v>43</v>
      </c>
    </row>
    <row r="68" spans="1:3" x14ac:dyDescent="0.2">
      <c r="A68" s="1" t="s">
        <v>62</v>
      </c>
    </row>
    <row r="69" spans="1:3" x14ac:dyDescent="0.2">
      <c r="A69" s="7" t="s">
        <v>63</v>
      </c>
      <c r="B69">
        <f>B60+B66</f>
        <v>84.722200708943475</v>
      </c>
      <c r="C69" t="s">
        <v>43</v>
      </c>
    </row>
    <row r="70" spans="1:3" x14ac:dyDescent="0.2">
      <c r="A70" s="7" t="s">
        <v>64</v>
      </c>
      <c r="B70">
        <f>SQRT(POWER(B60,2)+POWER(B66,2))</f>
        <v>73.704731738063728</v>
      </c>
      <c r="C70" t="s">
        <v>43</v>
      </c>
    </row>
    <row r="72" spans="1:3" x14ac:dyDescent="0.2">
      <c r="A72" s="1" t="s">
        <v>65</v>
      </c>
    </row>
    <row r="73" spans="1:3" x14ac:dyDescent="0.2">
      <c r="A73" s="7" t="s">
        <v>66</v>
      </c>
      <c r="B73">
        <f>B70/B45 * 100</f>
        <v>0.95254664653069909</v>
      </c>
      <c r="C73" t="s">
        <v>67</v>
      </c>
    </row>
    <row r="74" spans="1:3" x14ac:dyDescent="0.2">
      <c r="A74" s="7"/>
    </row>
    <row r="75" spans="1:3" x14ac:dyDescent="0.2">
      <c r="A75" s="8" t="s">
        <v>68</v>
      </c>
    </row>
    <row r="76" spans="1:3" x14ac:dyDescent="0.2">
      <c r="A76" s="7" t="s">
        <v>69</v>
      </c>
      <c r="B76" t="s">
        <v>43</v>
      </c>
    </row>
    <row r="77" spans="1:3" x14ac:dyDescent="0.2">
      <c r="A77" s="1"/>
    </row>
    <row r="1048576" spans="1:1" x14ac:dyDescent="0.2">
      <c r="A1048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Чмурова Мария Владиславовна</dc:creator>
  <cp:lastModifiedBy>Чмурова Мария Владиславовна</cp:lastModifiedBy>
  <dcterms:created xsi:type="dcterms:W3CDTF">2025-10-04T17:48:57Z</dcterms:created>
  <dcterms:modified xsi:type="dcterms:W3CDTF">2025-10-04T22:22:44Z</dcterms:modified>
</cp:coreProperties>
</file>