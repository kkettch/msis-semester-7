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/Desktop/"/>
    </mc:Choice>
  </mc:AlternateContent>
  <xr:revisionPtr revIDLastSave="0" documentId="13_ncr:1_{CF50914F-F25C-0646-AB3F-ED0A3F629D40}" xr6:coauthVersionLast="47" xr6:coauthVersionMax="47" xr10:uidLastSave="{00000000-0000-0000-0000-000000000000}"/>
  <bookViews>
    <workbookView xWindow="280" yWindow="500" windowWidth="28240" windowHeight="16080" xr2:uid="{F2D45DF7-322C-F343-929C-509161D9E1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D2" i="1"/>
  <c r="G5" i="1" s="1"/>
  <c r="F5" i="1" l="1"/>
  <c r="J5" i="1"/>
  <c r="H5" i="1"/>
  <c r="I5" i="1"/>
  <c r="D3" i="1" l="1"/>
  <c r="D4" i="1" s="1"/>
  <c r="E13" i="1" s="1"/>
  <c r="D6" i="1"/>
  <c r="C6" i="1" l="1"/>
</calcChain>
</file>

<file path=xl/sharedStrings.xml><?xml version="1.0" encoding="utf-8"?>
<sst xmlns="http://schemas.openxmlformats.org/spreadsheetml/2006/main" count="31" uniqueCount="30">
  <si>
    <t>Систематическая погрешность</t>
  </si>
  <si>
    <t>Вычисление среднего значения (с одним лишним знаком)</t>
  </si>
  <si>
    <t>x1</t>
  </si>
  <si>
    <t>x2</t>
  </si>
  <si>
    <t>x4</t>
  </si>
  <si>
    <t>x3</t>
  </si>
  <si>
    <t>x5</t>
  </si>
  <si>
    <t>Вычисление среднего квадратического отклонения</t>
  </si>
  <si>
    <t>(xi-x)^2</t>
  </si>
  <si>
    <t>Вычисление среднего квадратического отклонения среднего</t>
  </si>
  <si>
    <t>Проверка на прома</t>
  </si>
  <si>
    <t>G1</t>
  </si>
  <si>
    <t>G2</t>
  </si>
  <si>
    <t>GT</t>
  </si>
  <si>
    <t>5. Проверяют, можно ли считать результат xi выборкой из нормальной генеральной совокупности.</t>
  </si>
  <si>
    <t xml:space="preserve">НЕ ДЕЛАЕМ </t>
  </si>
  <si>
    <t>6. Доверительные границы случайной погрешности</t>
  </si>
  <si>
    <t>Коэффициент Стьюдента</t>
  </si>
  <si>
    <t>P</t>
  </si>
  <si>
    <t>t</t>
  </si>
  <si>
    <t>Sx</t>
  </si>
  <si>
    <t>Sx-</t>
  </si>
  <si>
    <t>x-</t>
  </si>
  <si>
    <t>ε</t>
  </si>
  <si>
    <t>N</t>
  </si>
  <si>
    <t>Доверительная случайная погрешность</t>
  </si>
  <si>
    <t>Треугольник - цена деления</t>
  </si>
  <si>
    <t>x=50,040 +- 0,084402047</t>
  </si>
  <si>
    <t>x=(5,004 +- 0,008) * 10</t>
  </si>
  <si>
    <t>x=(5,0040 +- 0,0084402047) *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</si>
</sst>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241300</xdr:colOff>
      <xdr:row>10</xdr:row>
      <xdr:rowOff>202223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840EA1-8510-C2F0-CAF3-2CF79B2A38BF}"/>
            </a:ext>
          </a:extLst>
        </xdr:cNvPr>
        <xdr:cNvSpPr txBox="1"/>
      </xdr:nvSpPr>
      <xdr:spPr>
        <a:xfrm>
          <a:off x="6298223" y="225376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2FFCE-ACA1-0F41-B613-96629F3960A3}">
  <dimension ref="A1:K20"/>
  <sheetViews>
    <sheetView tabSelected="1" zoomScale="130" zoomScaleNormal="130" workbookViewId="0">
      <selection activeCell="C15" sqref="C15"/>
    </sheetView>
  </sheetViews>
  <sheetFormatPr baseColWidth="10" defaultColWidth="19.83203125" defaultRowHeight="16" x14ac:dyDescent="0.2"/>
  <cols>
    <col min="6" max="6" width="10.33203125" customWidth="1"/>
    <col min="7" max="7" width="10.5" customWidth="1"/>
    <col min="8" max="8" width="10.83203125" customWidth="1"/>
    <col min="9" max="9" width="11" customWidth="1"/>
    <col min="10" max="10" width="10.6640625" customWidth="1"/>
    <col min="11" max="11" width="10.1640625" customWidth="1"/>
  </cols>
  <sheetData>
    <row r="1" spans="1:11" x14ac:dyDescent="0.2">
      <c r="A1" t="s">
        <v>0</v>
      </c>
      <c r="C1" s="4"/>
      <c r="D1" s="5">
        <v>0.05</v>
      </c>
      <c r="F1" t="s">
        <v>2</v>
      </c>
      <c r="G1" t="s">
        <v>3</v>
      </c>
      <c r="H1" t="s">
        <v>5</v>
      </c>
      <c r="I1" t="s">
        <v>4</v>
      </c>
      <c r="J1" t="s">
        <v>6</v>
      </c>
      <c r="K1" t="s">
        <v>24</v>
      </c>
    </row>
    <row r="2" spans="1:11" x14ac:dyDescent="0.2">
      <c r="A2" t="s">
        <v>1</v>
      </c>
      <c r="C2" s="4" t="s">
        <v>22</v>
      </c>
      <c r="D2" s="2">
        <f>SUM(F2:J2)/5</f>
        <v>50.04</v>
      </c>
      <c r="F2" s="1">
        <v>50.1</v>
      </c>
      <c r="G2" s="1">
        <v>50</v>
      </c>
      <c r="H2" s="1">
        <v>50</v>
      </c>
      <c r="I2" s="1">
        <v>50.1</v>
      </c>
      <c r="J2" s="1">
        <v>50</v>
      </c>
      <c r="K2" s="1">
        <v>5</v>
      </c>
    </row>
    <row r="3" spans="1:11" x14ac:dyDescent="0.2">
      <c r="A3" t="s">
        <v>7</v>
      </c>
      <c r="C3" s="4" t="s">
        <v>20</v>
      </c>
      <c r="D3">
        <f>SQRT(SUM(F5:J5)/(5-1))</f>
        <v>5.477225575051739E-2</v>
      </c>
    </row>
    <row r="4" spans="1:11" x14ac:dyDescent="0.2">
      <c r="A4" t="s">
        <v>9</v>
      </c>
      <c r="C4" s="4" t="s">
        <v>21</v>
      </c>
      <c r="D4">
        <f>D3/SQRT(5)</f>
        <v>2.4494897427832129E-2</v>
      </c>
      <c r="F4" t="s">
        <v>8</v>
      </c>
    </row>
    <row r="5" spans="1:11" x14ac:dyDescent="0.2">
      <c r="A5" t="s">
        <v>10</v>
      </c>
      <c r="B5" t="s">
        <v>13</v>
      </c>
      <c r="C5" t="s">
        <v>11</v>
      </c>
      <c r="D5" t="s">
        <v>12</v>
      </c>
      <c r="F5" s="3">
        <f>POWER(F2-$D$2,2)</f>
        <v>3.6000000000002727E-3</v>
      </c>
      <c r="G5" s="3">
        <f t="shared" ref="G5:J5" si="0">POWER(G2-$D$2,2)</f>
        <v>1.5999999999999318E-3</v>
      </c>
      <c r="H5" s="3">
        <f t="shared" si="0"/>
        <v>1.5999999999999318E-3</v>
      </c>
      <c r="I5" s="3">
        <f t="shared" si="0"/>
        <v>3.6000000000002727E-3</v>
      </c>
      <c r="J5" s="3">
        <f t="shared" si="0"/>
        <v>1.5999999999999318E-3</v>
      </c>
    </row>
    <row r="6" spans="1:11" x14ac:dyDescent="0.2">
      <c r="B6">
        <v>1.764</v>
      </c>
      <c r="C6">
        <f>ABS(F2-D2)/D3</f>
        <v>1.0954451150103581</v>
      </c>
      <c r="D6">
        <f>ABS(D2-G2)/D3</f>
        <v>0.73029674334019556</v>
      </c>
    </row>
    <row r="8" spans="1:11" x14ac:dyDescent="0.2">
      <c r="A8" t="s">
        <v>14</v>
      </c>
      <c r="F8" t="s">
        <v>15</v>
      </c>
    </row>
    <row r="10" spans="1:11" x14ac:dyDescent="0.2">
      <c r="A10" t="s">
        <v>16</v>
      </c>
    </row>
    <row r="12" spans="1:11" x14ac:dyDescent="0.2">
      <c r="A12" t="s">
        <v>17</v>
      </c>
      <c r="C12" t="s">
        <v>18</v>
      </c>
      <c r="D12" t="s">
        <v>19</v>
      </c>
      <c r="E12" t="s">
        <v>23</v>
      </c>
    </row>
    <row r="13" spans="1:11" x14ac:dyDescent="0.2">
      <c r="C13">
        <v>0.95</v>
      </c>
      <c r="D13">
        <v>2.7759999999999998</v>
      </c>
      <c r="E13">
        <f>D13*D4</f>
        <v>6.7997835259661979E-2</v>
      </c>
    </row>
    <row r="15" spans="1:11" x14ac:dyDescent="0.2">
      <c r="A15" t="s">
        <v>25</v>
      </c>
      <c r="C15">
        <f>SQRT(POWER(E13,2)+POWER(C16,2))</f>
        <v>8.4402047368533253E-2</v>
      </c>
      <c r="E15" t="s">
        <v>26</v>
      </c>
    </row>
    <row r="16" spans="1:11" x14ac:dyDescent="0.2">
      <c r="A16" t="s">
        <v>0</v>
      </c>
      <c r="C16">
        <v>0.05</v>
      </c>
    </row>
    <row r="18" spans="1:1" x14ac:dyDescent="0.2">
      <c r="A18" t="s">
        <v>27</v>
      </c>
    </row>
    <row r="19" spans="1:1" x14ac:dyDescent="0.2">
      <c r="A19" t="s">
        <v>29</v>
      </c>
    </row>
    <row r="20" spans="1:1" x14ac:dyDescent="0.2">
      <c r="A20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Чмурова Мария Владиславовна</dc:creator>
  <cp:lastModifiedBy>Чмурова Мария Владиславовна</cp:lastModifiedBy>
  <dcterms:created xsi:type="dcterms:W3CDTF">2025-09-08T07:44:10Z</dcterms:created>
  <dcterms:modified xsi:type="dcterms:W3CDTF">2025-09-10T08:02:08Z</dcterms:modified>
</cp:coreProperties>
</file>