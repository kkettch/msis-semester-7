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/Documents/7-семестр/мсис/ЛР3/"/>
    </mc:Choice>
  </mc:AlternateContent>
  <xr:revisionPtr revIDLastSave="0" documentId="13_ncr:1_{CBF16456-0775-DE43-AEAD-F1EAE6903112}" xr6:coauthVersionLast="47" xr6:coauthVersionMax="47" xr10:uidLastSave="{00000000-0000-0000-0000-000000000000}"/>
  <bookViews>
    <workbookView xWindow="280" yWindow="500" windowWidth="28240" windowHeight="16100" xr2:uid="{4C12DC73-C533-F84E-8CC2-2C1B5EE325D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0" i="1"/>
  <c r="B21" i="1"/>
  <c r="B19" i="1"/>
  <c r="I14" i="1"/>
  <c r="I15" i="1"/>
  <c r="I16" i="1"/>
  <c r="I13" i="1"/>
  <c r="J14" i="1"/>
  <c r="J15" i="1"/>
  <c r="J16" i="1"/>
  <c r="J13" i="1"/>
  <c r="H14" i="1"/>
  <c r="H15" i="1"/>
  <c r="H16" i="1"/>
  <c r="H13" i="1"/>
</calcChain>
</file>

<file path=xl/sharedStrings.xml><?xml version="1.0" encoding="utf-8"?>
<sst xmlns="http://schemas.openxmlformats.org/spreadsheetml/2006/main" count="43" uniqueCount="39">
  <si>
    <t>tэ - время экспонирования, выраженное в относительных единицах</t>
  </si>
  <si>
    <t>h - толщина фоторезиста в относительных единицах</t>
  </si>
  <si>
    <t>f - концентрация целощи в проявителе в относительных единицах</t>
  </si>
  <si>
    <t>Tп = a0 +a1 * h + a2 * tэ + a3 * f</t>
  </si>
  <si>
    <t>Фактор</t>
  </si>
  <si>
    <t>Толщина фоторезиста</t>
  </si>
  <si>
    <t>Время экспонирования</t>
  </si>
  <si>
    <t>Концентрация щелочи в проявителе</t>
  </si>
  <si>
    <t>Нулевые у-ни варьирования</t>
  </si>
  <si>
    <t>Интервалы варьирования</t>
  </si>
  <si>
    <t>H0= (мкм)</t>
  </si>
  <si>
    <t>tэ0= (с)</t>
  </si>
  <si>
    <t>F0= (%)</t>
  </si>
  <si>
    <t>ΔH= (мкм)</t>
  </si>
  <si>
    <t>ΔF= (%)</t>
  </si>
  <si>
    <t>Δtэ= (c)</t>
  </si>
  <si>
    <t>ДАНО:</t>
  </si>
  <si>
    <t xml:space="preserve">ВЫЧИСЛЕНИЯ: </t>
  </si>
  <si>
    <t>№ Опыта</t>
  </si>
  <si>
    <t>h(x1)</t>
  </si>
  <si>
    <t>tэ(x2)</t>
  </si>
  <si>
    <t>f(x3)</t>
  </si>
  <si>
    <t>Tп(yn)</t>
  </si>
  <si>
    <t>Матрица планирования:</t>
  </si>
  <si>
    <t xml:space="preserve">Эксперементальные данные: </t>
  </si>
  <si>
    <t>Tп, c</t>
  </si>
  <si>
    <t>f, %</t>
  </si>
  <si>
    <t>tэ, c</t>
  </si>
  <si>
    <t>h, мкм</t>
  </si>
  <si>
    <t>1. Составить матрицу планирования эксперимента</t>
  </si>
  <si>
    <t>2. Определить коэффициенты регрессии</t>
  </si>
  <si>
    <t>a0=</t>
  </si>
  <si>
    <t>a1=</t>
  </si>
  <si>
    <t>a3=</t>
  </si>
  <si>
    <t>a2=</t>
  </si>
  <si>
    <t xml:space="preserve">N = </t>
  </si>
  <si>
    <t>c</t>
  </si>
  <si>
    <t>3. Уравнение модели проявления фоторезиста:</t>
  </si>
  <si>
    <t>Tп = 50.5 + 28*h - 48*tэ - 82*f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</si>
</sst>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A4D9-763A-FC40-8640-F48E63CBF715}">
  <dimension ref="A1:K25"/>
  <sheetViews>
    <sheetView tabSelected="1" zoomScale="130" zoomScaleNormal="130" workbookViewId="0">
      <selection activeCell="B27" sqref="B27"/>
    </sheetView>
  </sheetViews>
  <sheetFormatPr baseColWidth="10" defaultRowHeight="16" x14ac:dyDescent="0.2"/>
  <cols>
    <col min="1" max="1" width="31.6640625" customWidth="1"/>
    <col min="2" max="2" width="24.83203125" customWidth="1"/>
    <col min="3" max="3" width="5" customWidth="1"/>
    <col min="4" max="4" width="22.83203125" customWidth="1"/>
    <col min="5" max="5" width="4.6640625" customWidth="1"/>
  </cols>
  <sheetData>
    <row r="1" spans="1:11" x14ac:dyDescent="0.2">
      <c r="A1" s="1" t="s">
        <v>29</v>
      </c>
    </row>
    <row r="3" spans="1:11" x14ac:dyDescent="0.2">
      <c r="A3" s="1" t="s">
        <v>16</v>
      </c>
      <c r="G3" s="1" t="s">
        <v>17</v>
      </c>
    </row>
    <row r="4" spans="1:11" x14ac:dyDescent="0.2">
      <c r="A4" t="s">
        <v>3</v>
      </c>
      <c r="G4" t="s">
        <v>23</v>
      </c>
    </row>
    <row r="5" spans="1:11" x14ac:dyDescent="0.2">
      <c r="A5" t="s">
        <v>0</v>
      </c>
      <c r="G5" s="4" t="s">
        <v>18</v>
      </c>
      <c r="H5" s="4" t="s">
        <v>19</v>
      </c>
      <c r="I5" s="4" t="s">
        <v>20</v>
      </c>
      <c r="J5" s="4" t="s">
        <v>21</v>
      </c>
      <c r="K5" s="4" t="s">
        <v>22</v>
      </c>
    </row>
    <row r="6" spans="1:11" x14ac:dyDescent="0.2">
      <c r="A6" t="s">
        <v>1</v>
      </c>
      <c r="G6" s="4">
        <v>1</v>
      </c>
      <c r="H6" s="4">
        <v>-1</v>
      </c>
      <c r="I6" s="4">
        <v>-1</v>
      </c>
      <c r="J6" s="4">
        <v>1</v>
      </c>
      <c r="K6" s="4">
        <v>35</v>
      </c>
    </row>
    <row r="7" spans="1:11" x14ac:dyDescent="0.2">
      <c r="A7" t="s">
        <v>2</v>
      </c>
      <c r="G7" s="4">
        <v>2</v>
      </c>
      <c r="H7" s="4">
        <v>1</v>
      </c>
      <c r="I7" s="4">
        <v>-1</v>
      </c>
      <c r="J7" s="4">
        <v>-1</v>
      </c>
      <c r="K7" s="4">
        <v>90</v>
      </c>
    </row>
    <row r="8" spans="1:11" x14ac:dyDescent="0.2">
      <c r="G8" s="4">
        <v>3</v>
      </c>
      <c r="H8" s="4">
        <v>-1</v>
      </c>
      <c r="I8" s="4">
        <v>1</v>
      </c>
      <c r="J8" s="4">
        <v>-1</v>
      </c>
      <c r="K8" s="4">
        <v>52</v>
      </c>
    </row>
    <row r="9" spans="1:11" x14ac:dyDescent="0.2">
      <c r="A9" s="4" t="s">
        <v>4</v>
      </c>
      <c r="B9" s="4" t="s">
        <v>8</v>
      </c>
      <c r="C9" s="4"/>
      <c r="D9" s="4" t="s">
        <v>9</v>
      </c>
      <c r="E9" s="4"/>
      <c r="G9" s="4">
        <v>4</v>
      </c>
      <c r="H9" s="4">
        <v>1</v>
      </c>
      <c r="I9" s="4">
        <v>1</v>
      </c>
      <c r="J9" s="4">
        <v>1</v>
      </c>
      <c r="K9" s="4">
        <v>25</v>
      </c>
    </row>
    <row r="10" spans="1:11" x14ac:dyDescent="0.2">
      <c r="A10" s="4" t="s">
        <v>5</v>
      </c>
      <c r="B10" s="5" t="s">
        <v>10</v>
      </c>
      <c r="C10" s="6">
        <v>0.45</v>
      </c>
      <c r="D10" s="5" t="s">
        <v>13</v>
      </c>
      <c r="E10" s="6">
        <v>0.1</v>
      </c>
    </row>
    <row r="11" spans="1:11" x14ac:dyDescent="0.2">
      <c r="A11" s="4" t="s">
        <v>6</v>
      </c>
      <c r="B11" s="5" t="s">
        <v>11</v>
      </c>
      <c r="C11" s="6">
        <v>145</v>
      </c>
      <c r="D11" s="5" t="s">
        <v>15</v>
      </c>
      <c r="E11" s="6">
        <v>60</v>
      </c>
      <c r="G11" t="s">
        <v>24</v>
      </c>
    </row>
    <row r="12" spans="1:11" x14ac:dyDescent="0.2">
      <c r="A12" s="4" t="s">
        <v>7</v>
      </c>
      <c r="B12" s="5" t="s">
        <v>12</v>
      </c>
      <c r="C12" s="6">
        <v>0.6</v>
      </c>
      <c r="D12" s="5" t="s">
        <v>14</v>
      </c>
      <c r="E12" s="6">
        <v>0.2</v>
      </c>
      <c r="G12" s="4" t="s">
        <v>18</v>
      </c>
      <c r="H12" s="4" t="s">
        <v>28</v>
      </c>
      <c r="I12" s="4" t="s">
        <v>27</v>
      </c>
      <c r="J12" s="4" t="s">
        <v>26</v>
      </c>
      <c r="K12" s="4" t="s">
        <v>25</v>
      </c>
    </row>
    <row r="13" spans="1:11" x14ac:dyDescent="0.2">
      <c r="G13" s="4">
        <v>1</v>
      </c>
      <c r="H13" s="4">
        <f>IF(H6 &gt; 0, $C$10+$E$10, $C$10-$E$10)</f>
        <v>0.35</v>
      </c>
      <c r="I13" s="4">
        <f>IF(I6 &gt; 0, $C$11+$E$11, $C$11-$E$11)</f>
        <v>85</v>
      </c>
      <c r="J13" s="4">
        <f>IF(J6 &gt; 0, $C$12+$E$12, $C$12-$E$12)</f>
        <v>0.8</v>
      </c>
      <c r="K13" s="4">
        <v>35</v>
      </c>
    </row>
    <row r="14" spans="1:11" x14ac:dyDescent="0.2">
      <c r="A14" s="2" t="s">
        <v>35</v>
      </c>
      <c r="B14" s="3">
        <v>4</v>
      </c>
      <c r="G14" s="4">
        <v>2</v>
      </c>
      <c r="H14" s="4">
        <f t="shared" ref="H14:H16" si="0">IF(H7 &gt; 0, $C$10+$E$10, $C$10-$E$10)</f>
        <v>0.55000000000000004</v>
      </c>
      <c r="I14" s="4">
        <f t="shared" ref="I14:I16" si="1">IF(I7 &gt; 0, $C$11+$E$11, $C$11-$E$11)</f>
        <v>85</v>
      </c>
      <c r="J14" s="4">
        <f t="shared" ref="J14:J16" si="2">IF(J7 &gt; 0, $C$12+$E$12, $C$12-$E$12)</f>
        <v>0.39999999999999997</v>
      </c>
      <c r="K14" s="4">
        <v>90</v>
      </c>
    </row>
    <row r="15" spans="1:11" x14ac:dyDescent="0.2">
      <c r="G15" s="4">
        <v>3</v>
      </c>
      <c r="H15" s="4">
        <f t="shared" si="0"/>
        <v>0.35</v>
      </c>
      <c r="I15" s="4">
        <f t="shared" si="1"/>
        <v>205</v>
      </c>
      <c r="J15" s="4">
        <f t="shared" si="2"/>
        <v>0.39999999999999997</v>
      </c>
      <c r="K15" s="4">
        <v>52</v>
      </c>
    </row>
    <row r="16" spans="1:11" x14ac:dyDescent="0.2">
      <c r="G16" s="4">
        <v>4</v>
      </c>
      <c r="H16" s="4">
        <f t="shared" si="0"/>
        <v>0.55000000000000004</v>
      </c>
      <c r="I16" s="4">
        <f t="shared" si="1"/>
        <v>205</v>
      </c>
      <c r="J16" s="4">
        <f t="shared" si="2"/>
        <v>0.8</v>
      </c>
      <c r="K16" s="4">
        <v>25</v>
      </c>
    </row>
    <row r="18" spans="1:3" x14ac:dyDescent="0.2">
      <c r="A18" s="1" t="s">
        <v>30</v>
      </c>
    </row>
    <row r="19" spans="1:3" x14ac:dyDescent="0.2">
      <c r="A19" s="2" t="s">
        <v>31</v>
      </c>
      <c r="B19" s="3">
        <f>SUM(K13:K16)/4</f>
        <v>50.5</v>
      </c>
      <c r="C19" s="3" t="s">
        <v>36</v>
      </c>
    </row>
    <row r="20" spans="1:3" x14ac:dyDescent="0.2">
      <c r="A20" s="2" t="s">
        <v>32</v>
      </c>
      <c r="B20" s="3">
        <f>K6*H6+K7*H7+K8*H8+K9*H9</f>
        <v>28</v>
      </c>
      <c r="C20" s="3" t="s">
        <v>36</v>
      </c>
    </row>
    <row r="21" spans="1:3" x14ac:dyDescent="0.2">
      <c r="A21" s="2" t="s">
        <v>34</v>
      </c>
      <c r="B21" s="3">
        <f>K6*I6+K7*I7+K8*I8+K9*I9</f>
        <v>-48</v>
      </c>
      <c r="C21" s="3" t="s">
        <v>36</v>
      </c>
    </row>
    <row r="22" spans="1:3" x14ac:dyDescent="0.2">
      <c r="A22" s="2" t="s">
        <v>33</v>
      </c>
      <c r="B22" s="3">
        <f>K6*J6+K7*J7+K8*J8+K9*J9</f>
        <v>-82</v>
      </c>
      <c r="C22" s="3" t="s">
        <v>36</v>
      </c>
    </row>
    <row r="24" spans="1:3" x14ac:dyDescent="0.2">
      <c r="A24" s="7" t="s">
        <v>37</v>
      </c>
    </row>
    <row r="25" spans="1:3" x14ac:dyDescent="0.2">
      <c r="A2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Чмурова Мария Владиславовна</dc:creator>
  <cp:lastModifiedBy>Чмурова Мария Владиславовна</cp:lastModifiedBy>
  <dcterms:created xsi:type="dcterms:W3CDTF">2025-10-19T12:57:07Z</dcterms:created>
  <dcterms:modified xsi:type="dcterms:W3CDTF">2025-10-19T13:24:14Z</dcterms:modified>
</cp:coreProperties>
</file>